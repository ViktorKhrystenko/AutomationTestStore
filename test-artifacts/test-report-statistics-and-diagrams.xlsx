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ktor\IdeaProjects\QA\AutomationTestStore\test-artifacts\"/>
    </mc:Choice>
  </mc:AlternateContent>
  <xr:revisionPtr revIDLastSave="0" documentId="13_ncr:1_{E8840002-14D1-4F51-8183-3C677E334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P4" i="1"/>
  <c r="P3" i="1"/>
  <c r="P2" i="1"/>
  <c r="S5" i="1"/>
  <c r="R5" i="1"/>
  <c r="Q5" i="1"/>
  <c r="S3" i="1"/>
  <c r="R3" i="1"/>
  <c r="Q3" i="1"/>
  <c r="B7" i="1"/>
  <c r="F3" i="1"/>
  <c r="D3" i="1"/>
  <c r="C3" i="1"/>
  <c r="F5" i="1"/>
  <c r="E5" i="1"/>
  <c r="D5" i="1"/>
  <c r="C5" i="1"/>
  <c r="B4" i="1"/>
  <c r="B5" i="1" s="1"/>
  <c r="B2" i="1"/>
  <c r="P5" i="1" l="1"/>
  <c r="B3" i="1"/>
</calcChain>
</file>

<file path=xl/sharedStrings.xml><?xml version="1.0" encoding="utf-8"?>
<sst xmlns="http://schemas.openxmlformats.org/spreadsheetml/2006/main" count="26" uniqueCount="15">
  <si>
    <t>Very High</t>
  </si>
  <si>
    <t>High</t>
  </si>
  <si>
    <t>Medium</t>
  </si>
  <si>
    <t>Low</t>
  </si>
  <si>
    <t>Total</t>
  </si>
  <si>
    <t>Failed</t>
  </si>
  <si>
    <t>Success rate</t>
  </si>
  <si>
    <t>Successful</t>
  </si>
  <si>
    <t>-</t>
  </si>
  <si>
    <t>DR</t>
  </si>
  <si>
    <t>Smoke</t>
  </si>
  <si>
    <t>Critical path</t>
  </si>
  <si>
    <t>Extended</t>
  </si>
  <si>
    <t>Executed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</si>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</sst>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10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2" fillId="0" borderId="0" xfId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Tets cases</a:t>
            </a:r>
            <a:r>
              <a:rPr lang="uk-UA"/>
              <a:t>'</a:t>
            </a:r>
            <a:r>
              <a:rPr lang="en-US"/>
              <a:t> quantities</a:t>
            </a:r>
            <a:r>
              <a:rPr lang="en-US" baseline="0"/>
              <a:t>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C-425A-8045-7FC763E9AC24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C-425A-8045-7FC763E9AC24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C-425A-8045-7FC763E9AC24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3C-425A-8045-7FC763E9AC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Sheet1!$C$1:$F$1</c:f>
              <c:strCache>
                <c:ptCount val="4"/>
                <c:pt idx="0">
                  <c:v>Very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Sheet1!$C$2:$F$2</c:f>
              <c:numCache>
                <c:formatCode>General</c:formatCode>
                <c:ptCount val="4"/>
                <c:pt idx="0">
                  <c:v>8</c:v>
                </c:pt>
                <c:pt idx="1">
                  <c:v>64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2-452B-835F-EC41B56B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cases success rate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Total</c:v>
                </c:pt>
                <c:pt idx="1">
                  <c:v>Very High</c:v>
                </c:pt>
                <c:pt idx="2">
                  <c:v>High</c:v>
                </c:pt>
                <c:pt idx="3">
                  <c:v>Medium</c:v>
                </c:pt>
                <c:pt idx="4">
                  <c:v>Low</c:v>
                </c:pt>
              </c:strCache>
            </c:strRef>
          </c:cat>
          <c:val>
            <c:numRef>
              <c:f>Sheet1!$B$5:$F$5</c:f>
              <c:numCache>
                <c:formatCode>0%</c:formatCode>
                <c:ptCount val="5"/>
                <c:pt idx="0">
                  <c:v>0.64948453608247425</c:v>
                </c:pt>
                <c:pt idx="1">
                  <c:v>1</c:v>
                </c:pt>
                <c:pt idx="2">
                  <c:v>0.65625</c:v>
                </c:pt>
                <c:pt idx="3">
                  <c:v>0.5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F-4BFA-A345-BF601BA0E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44015"/>
        <c:axId val="811061759"/>
      </c:barChart>
      <c:catAx>
        <c:axId val="52204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11061759"/>
        <c:crosses val="autoZero"/>
        <c:auto val="1"/>
        <c:lblAlgn val="ctr"/>
        <c:lblOffset val="100"/>
        <c:noMultiLvlLbl val="0"/>
      </c:catAx>
      <c:valAx>
        <c:axId val="8110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204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</a:t>
            </a:r>
            <a:r>
              <a:rPr lang="en-US" baseline="0"/>
              <a:t> test cases to failed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EA-4419-8A95-09A0B4A581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EA-4419-8A95-09A0B4A5816C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Sheet1!$A$3:$A$4</c:f>
              <c:strCache>
                <c:ptCount val="2"/>
                <c:pt idx="0">
                  <c:v>Successful</c:v>
                </c:pt>
                <c:pt idx="1">
                  <c:v>Failed</c:v>
                </c:pt>
              </c:strCache>
            </c:strRef>
          </c:cat>
          <c:val>
            <c:numRef>
              <c:f>Sheet1!$B$3:$B$4</c:f>
              <c:numCache>
                <c:formatCode>General</c:formatCode>
                <c:ptCount val="2"/>
                <c:pt idx="0">
                  <c:v>63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8-4815-983D-8944C2AF0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Defects fixed percentage by defetcs</a:t>
            </a:r>
            <a:r>
              <a:rPr lang="uk-UA" b="0" i="0">
                <a:effectLst/>
              </a:rPr>
              <a:t>'</a:t>
            </a:r>
            <a:r>
              <a:rPr lang="en-US" b="0" i="0">
                <a:effectLst/>
              </a:rPr>
              <a:t>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Sheet1!$J$1:$L$1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Sheet1!$J$2:$L$2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7-4B11-8A9D-0A8C69CFB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178991"/>
        <c:axId val="1030176911"/>
      </c:barChart>
      <c:catAx>
        <c:axId val="10301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30176911"/>
        <c:crosses val="autoZero"/>
        <c:auto val="1"/>
        <c:lblAlgn val="ctr"/>
        <c:lblOffset val="100"/>
        <c:noMultiLvlLbl val="0"/>
      </c:catAx>
      <c:valAx>
        <c:axId val="103017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3017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Defects by severity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11-4130-AD6F-B9B5556F8D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11-4130-AD6F-B9B5556F8D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11-4130-AD6F-B9B5556F8D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11-4130-AD6F-B9B5556F8D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Sheet1!$C$1:$F$1</c:f>
              <c:strCache>
                <c:ptCount val="4"/>
                <c:pt idx="0">
                  <c:v>Very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4-4DE1-9D9B-DE015F3ED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cases by functional testing level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Sheet1!$Q$1:$S$1</c:f>
              <c:strCache>
                <c:ptCount val="3"/>
                <c:pt idx="0">
                  <c:v>Smoke</c:v>
                </c:pt>
                <c:pt idx="1">
                  <c:v>Critical path</c:v>
                </c:pt>
                <c:pt idx="2">
                  <c:v>Extended</c:v>
                </c:pt>
              </c:strCache>
            </c:strRef>
          </c:cat>
          <c:val>
            <c:numRef>
              <c:f>Sheet1!$Q$2:$S$2</c:f>
              <c:numCache>
                <c:formatCode>General</c:formatCode>
                <c:ptCount val="3"/>
                <c:pt idx="0">
                  <c:v>5</c:v>
                </c:pt>
                <c:pt idx="1">
                  <c:v>82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0-4CD6-BD25-5CD3E1228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cases success rate by functional testing level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Sheet1!$P$1:$S$1</c:f>
              <c:strCache>
                <c:ptCount val="1"/>
                <c:pt idx="0">
                  <c:v>Total Smoke Critical path Extended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Sheet1!$P$1:$S$1</c:f>
              <c:strCache>
                <c:ptCount val="4"/>
                <c:pt idx="0">
                  <c:v>Total</c:v>
                </c:pt>
                <c:pt idx="1">
                  <c:v>Smoke</c:v>
                </c:pt>
                <c:pt idx="2">
                  <c:v>Critical path</c:v>
                </c:pt>
                <c:pt idx="3">
                  <c:v>Extended</c:v>
                </c:pt>
              </c:strCache>
            </c:strRef>
          </c:cat>
          <c:val>
            <c:numRef>
              <c:f>Sheet1!$P$5:$S$5</c:f>
              <c:numCache>
                <c:formatCode>0%</c:formatCode>
                <c:ptCount val="4"/>
                <c:pt idx="0">
                  <c:v>0.64948453608247425</c:v>
                </c:pt>
                <c:pt idx="1">
                  <c:v>1</c:v>
                </c:pt>
                <c:pt idx="2">
                  <c:v>0.63414634146341464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4-45F5-9ED2-6639C172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062191"/>
        <c:axId val="1439064271"/>
      </c:barChart>
      <c:catAx>
        <c:axId val="143906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39064271"/>
        <c:crosses val="autoZero"/>
        <c:auto val="1"/>
        <c:lblAlgn val="ctr"/>
        <c:lblOffset val="100"/>
        <c:noMultiLvlLbl val="0"/>
      </c:catAx>
      <c:valAx>
        <c:axId val="14390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3906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Executed</a:t>
            </a:r>
            <a:r>
              <a:rPr lang="en-US" baseline="0"/>
              <a:t> test cases to not executed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Sheet1!$J$5:$K$5</c:f>
              <c:strCache>
                <c:ptCount val="2"/>
                <c:pt idx="0">
                  <c:v>Executed</c:v>
                </c:pt>
                <c:pt idx="1">
                  <c:v>Not executed</c:v>
                </c:pt>
              </c:strCache>
            </c:strRef>
          </c:cat>
          <c:val>
            <c:numRef>
              <c:f>Sheet1!$J$6:$K$6</c:f>
              <c:numCache>
                <c:formatCode>General</c:formatCode>
                <c:ptCount val="2"/>
                <c:pt idx="0">
                  <c:v>97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5-426B-ACEA-757D9E4C6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7</xdr:col>
      <xdr:colOff>304800</xdr:colOff>
      <xdr:row>24</xdr:row>
      <xdr:rowOff>100012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6AE86AE0-9770-440A-B803-31C77AF9A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102280</xdr:rowOff>
    </xdr:from>
    <xdr:to>
      <xdr:col>7</xdr:col>
      <xdr:colOff>288054</xdr:colOff>
      <xdr:row>38</xdr:row>
      <xdr:rowOff>176969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39474574-7F04-4894-9CEF-4A203202B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289752</xdr:colOff>
      <xdr:row>10</xdr:row>
      <xdr:rowOff>22291</xdr:rowOff>
    </xdr:from>
    <xdr:to>
      <xdr:col>14</xdr:col>
      <xdr:colOff>594552</xdr:colOff>
      <xdr:row>24</xdr:row>
      <xdr:rowOff>98491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C0C32F15-4B2C-49EA-BA4C-9B2DA1C07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290487</xdr:colOff>
      <xdr:row>24</xdr:row>
      <xdr:rowOff>101383</xdr:rowOff>
    </xdr:from>
    <xdr:to>
      <xdr:col>14</xdr:col>
      <xdr:colOff>590678</xdr:colOff>
      <xdr:row>38</xdr:row>
      <xdr:rowOff>176389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4104A94B-5629-4EAC-8BB4-2A452FCE5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22602</xdr:colOff>
      <xdr:row>39</xdr:row>
      <xdr:rowOff>16790</xdr:rowOff>
    </xdr:from>
    <xdr:to>
      <xdr:col>7</xdr:col>
      <xdr:colOff>300280</xdr:colOff>
      <xdr:row>53</xdr:row>
      <xdr:rowOff>47787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6D493DAB-3B04-40ED-89B9-E322DA652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125</xdr:colOff>
      <xdr:row>10</xdr:row>
      <xdr:rowOff>24303</xdr:rowOff>
    </xdr:from>
    <xdr:to>
      <xdr:col>23</xdr:col>
      <xdr:colOff>271958</xdr:colOff>
      <xdr:row>24</xdr:row>
      <xdr:rowOff>96935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CC46DD4-4CCE-4AC6-861E-C79F268CE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615</xdr:colOff>
      <xdr:row>24</xdr:row>
      <xdr:rowOff>96079</xdr:rowOff>
    </xdr:from>
    <xdr:to>
      <xdr:col>23</xdr:col>
      <xdr:colOff>273627</xdr:colOff>
      <xdr:row>39</xdr:row>
      <xdr:rowOff>11545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7049B349-B088-410F-A81D-E671FA8B5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35393</xdr:colOff>
      <xdr:row>10</xdr:row>
      <xdr:rowOff>26153</xdr:rowOff>
    </xdr:from>
    <xdr:to>
      <xdr:col>31</xdr:col>
      <xdr:colOff>313070</xdr:colOff>
      <xdr:row>24</xdr:row>
      <xdr:rowOff>57150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2C85F862-C585-4605-A801-C3D9139C7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L9" zoomScale="133" zoomScaleNormal="100" workbookViewId="0">
      <selection activeCell="O42" sqref="O42"/>
    </sheetView>
  </sheetViews>
  <sheetFormatPr defaultRowHeight="15" x14ac:dyDescent="0.25"/>
  <cols>
    <col min="1" max="6" width="9.140625" style="11"/>
    <col min="15" max="19" width="9.140625" style="19"/>
  </cols>
  <sheetData>
    <row r="1" spans="1:20" ht="30.75" thickBot="1" x14ac:dyDescent="0.3">
      <c r="A1" s="6"/>
      <c r="B1" s="7" t="s">
        <v>4</v>
      </c>
      <c r="C1" s="8" t="s">
        <v>0</v>
      </c>
      <c r="D1" s="8" t="s">
        <v>1</v>
      </c>
      <c r="E1" s="8" t="s">
        <v>2</v>
      </c>
      <c r="F1" s="8" t="s">
        <v>3</v>
      </c>
      <c r="I1" s="8" t="s">
        <v>0</v>
      </c>
      <c r="J1" s="8" t="s">
        <v>1</v>
      </c>
      <c r="K1" s="8" t="s">
        <v>2</v>
      </c>
      <c r="L1" s="8" t="s">
        <v>3</v>
      </c>
      <c r="O1" s="17"/>
      <c r="P1" s="22" t="s">
        <v>4</v>
      </c>
      <c r="Q1" s="18" t="s">
        <v>10</v>
      </c>
      <c r="R1" s="18" t="s">
        <v>11</v>
      </c>
      <c r="S1" s="18" t="s">
        <v>12</v>
      </c>
    </row>
    <row r="2" spans="1:20" x14ac:dyDescent="0.25">
      <c r="A2" s="9" t="s">
        <v>4</v>
      </c>
      <c r="B2" s="1">
        <f>SUM(C2:F2)</f>
        <v>97</v>
      </c>
      <c r="C2" s="2">
        <v>8</v>
      </c>
      <c r="D2" s="2">
        <v>64</v>
      </c>
      <c r="E2" s="2">
        <v>20</v>
      </c>
      <c r="F2" s="2">
        <v>5</v>
      </c>
      <c r="I2" s="12" t="s">
        <v>8</v>
      </c>
      <c r="J2" s="5">
        <v>1</v>
      </c>
      <c r="K2" s="5">
        <v>1</v>
      </c>
      <c r="L2" s="5">
        <v>0.6</v>
      </c>
      <c r="O2" s="15" t="s">
        <v>4</v>
      </c>
      <c r="P2" s="1">
        <f>SUM(Q2:T2)</f>
        <v>97</v>
      </c>
      <c r="Q2" s="16">
        <v>5</v>
      </c>
      <c r="R2" s="16">
        <v>82</v>
      </c>
      <c r="S2" s="16">
        <v>10</v>
      </c>
    </row>
    <row r="3" spans="1:20" ht="30" x14ac:dyDescent="0.25">
      <c r="A3" s="10" t="s">
        <v>7</v>
      </c>
      <c r="B3" s="1">
        <f>SUM(C3:F3)</f>
        <v>63</v>
      </c>
      <c r="C3" s="4">
        <f>C2-C4</f>
        <v>8</v>
      </c>
      <c r="D3" s="4">
        <f>D2-D4</f>
        <v>42</v>
      </c>
      <c r="E3" s="4">
        <v>10</v>
      </c>
      <c r="F3" s="4">
        <f>F2-F4</f>
        <v>3</v>
      </c>
      <c r="O3" s="14" t="s">
        <v>7</v>
      </c>
      <c r="P3" s="1">
        <f>SUM(Q3:T3)</f>
        <v>63</v>
      </c>
      <c r="Q3" s="4">
        <f>Q2-Q4</f>
        <v>5</v>
      </c>
      <c r="R3" s="4">
        <f>R2-R4</f>
        <v>52</v>
      </c>
      <c r="S3" s="4">
        <f>S2-S4</f>
        <v>6</v>
      </c>
    </row>
    <row r="4" spans="1:20" x14ac:dyDescent="0.25">
      <c r="A4" s="10" t="s">
        <v>5</v>
      </c>
      <c r="B4" s="1">
        <f>SUM(C4:F4)</f>
        <v>34</v>
      </c>
      <c r="C4" s="4">
        <v>0</v>
      </c>
      <c r="D4" s="4">
        <v>22</v>
      </c>
      <c r="E4" s="4">
        <v>10</v>
      </c>
      <c r="F4" s="4">
        <v>2</v>
      </c>
      <c r="O4" s="14" t="s">
        <v>5</v>
      </c>
      <c r="P4" s="1">
        <f>SUM(Q4:T4)</f>
        <v>34</v>
      </c>
      <c r="Q4" s="13">
        <v>0</v>
      </c>
      <c r="R4" s="13">
        <v>30</v>
      </c>
      <c r="S4" s="13">
        <v>4</v>
      </c>
    </row>
    <row r="5" spans="1:20" ht="30" x14ac:dyDescent="0.25">
      <c r="A5" s="10" t="s">
        <v>6</v>
      </c>
      <c r="B5" s="5">
        <f>100%-(B4/B2)</f>
        <v>0.64948453608247425</v>
      </c>
      <c r="C5" s="5">
        <f>100%-(C4/C2)</f>
        <v>1</v>
      </c>
      <c r="D5" s="5">
        <f>100%-(D4/D2)</f>
        <v>0.65625</v>
      </c>
      <c r="E5" s="5">
        <f>100%-(E4/E2)</f>
        <v>0.5</v>
      </c>
      <c r="F5" s="5">
        <f>100%-(F4/F2)</f>
        <v>0.6</v>
      </c>
      <c r="I5" t="s">
        <v>4</v>
      </c>
      <c r="J5" t="s">
        <v>13</v>
      </c>
      <c r="K5" t="s">
        <v>14</v>
      </c>
      <c r="O5" s="10" t="s">
        <v>6</v>
      </c>
      <c r="P5" s="5">
        <f>100%-(P4/P2)</f>
        <v>0.64948453608247425</v>
      </c>
      <c r="Q5" s="21">
        <f>100%-(Q4/Q2)</f>
        <v>1</v>
      </c>
      <c r="R5" s="21">
        <f>100%-(R4/R2)</f>
        <v>0.63414634146341464</v>
      </c>
      <c r="S5" s="21">
        <f>100%-(S4/S2)</f>
        <v>0.6</v>
      </c>
      <c r="T5" s="20"/>
    </row>
    <row r="6" spans="1:20" x14ac:dyDescent="0.25">
      <c r="I6">
        <v>97</v>
      </c>
      <c r="J6">
        <v>97</v>
      </c>
      <c r="K6">
        <f>I6-J6</f>
        <v>0</v>
      </c>
    </row>
    <row r="7" spans="1:20" x14ac:dyDescent="0.25">
      <c r="A7" s="10" t="s">
        <v>9</v>
      </c>
      <c r="B7" s="3">
        <f>SUM(C7:F7)</f>
        <v>26</v>
      </c>
      <c r="C7" s="4">
        <v>0</v>
      </c>
      <c r="D7" s="4">
        <v>15</v>
      </c>
      <c r="E7" s="4">
        <v>1</v>
      </c>
      <c r="F7" s="4">
        <v>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2015-06-05T18:17:20Z</dcterms:created>
  <dcterms:modified xsi:type="dcterms:W3CDTF">2026-07-30T19:00:58Z</dcterms:modified>
</cp:coreProperties>
</file>